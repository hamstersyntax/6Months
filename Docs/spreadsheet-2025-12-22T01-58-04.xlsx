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r:id="rId1" name="Assignments" sheetId="1"/>
    <sheet r:id="rId2" name="Subjects" sheetId="2"/>
    <sheet r:id="rId3" name="Monthly Tracker" sheetId="3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<sst xmlns="http://schemas.openxmlformats.org/spreadsheetml/2006/main" count="99" uniqueCount="99">
  <si>
    <t>Count</t>
  </si>
  <si>
    <t>Status</t>
  </si>
  <si>
    <t>Time</t>
  </si>
  <si>
    <t>Activity</t>
  </si>
  <si>
    <t>Short Instruction</t>
  </si>
  <si>
    <t>Date</t>
  </si>
  <si>
    <t>Day</t>
  </si>
  <si>
    <t xml:space="preserve">⁉️ </t>
  </si>
  <si>
    <t>Not started</t>
  </si>
  <si>
    <t>🔋 Wake Up &amp; Water</t>
  </si>
  <si>
    <t>Drink a glass of water to wake up your body.</t>
  </si>
  <si>
    <t>Thursday</t>
  </si>
  <si>
    <t>🏃‍♂️ Morning Exercise</t>
  </si>
  <si>
    <t>Do light cardio, stretching, or pushups. It wakes up your brain.</t>
  </si>
  <si>
    <t>Friday</t>
  </si>
  <si>
    <t>🧠 DSA Study (Session 1)</t>
  </si>
  <si>
    <t>Watch 1 video (30-40 mins). Don't code yet, just understand the logic.</t>
  </si>
  <si>
    <t>Saturday</t>
  </si>
  <si>
    <t>📝 Active Recall (DSA)</t>
  </si>
  <si>
    <t>Close the video. Write down what you learned without looking.</t>
  </si>
  <si>
    <t>Sunday</t>
  </si>
  <si>
    <t>🤲 1st Namaz (Fajr)</t>
  </si>
  <si>
    <t>Pray and relax. Do some Zikr.</t>
  </si>
  <si>
    <t>Monday</t>
  </si>
  <si>
    <t>🍳 Breakfast &amp; Shower</t>
  </si>
  <si>
    <t>Eat a healthy breakfast (eggs/oats) for brain fuel.</t>
  </si>
  <si>
    <t>Tuesday</t>
  </si>
  <si>
    <t>🌐 Web Dev (Deep Work)</t>
  </si>
  <si>
    <t>Focus Block. Learn new concepts (React, Node, etc.). Use the 50/10 Rule here (50 min study, 10 min break).</t>
  </si>
  <si>
    <t>Wednesday</t>
  </si>
  <si>
    <t>🚶‍♂️ Long Break</t>
  </si>
  <si>
    <t>Step away from the screen. Walk or stretch.</t>
  </si>
  <si>
    <t>💻 Practice Coding</t>
  </si>
  <si>
    <t>Open your code editor. Write code for the DSA logic you learned or build a Web component.</t>
  </si>
  <si>
    <t>🥗 Lunch</t>
  </si>
  <si>
    <t>Eat a light lunch (heavy food makes you sleepy).</t>
  </si>
  <si>
    <t>🤲 2nd Namaz (Zuhr)</t>
  </si>
  <si>
    <t>Pray.</t>
  </si>
  <si>
    <t>😴 Power Nap</t>
  </si>
  <si>
    <t>Sleep for 20-30 mins only. This resets your brain energy.</t>
  </si>
  <si>
    <t>🌐 Web Dev (Project)</t>
  </si>
  <si>
    <t>Apply what you learned. Build real things (a website, a button, a nav bar).</t>
  </si>
  <si>
    <t>🤲 3rd Namaz (Asr)</t>
  </si>
  <si>
    <t>🗣️ Feynman Technique</t>
  </si>
  <si>
    <t>Pretend to teach the Web Dev topic you learned today to a child. Speak it out loud.</t>
  </si>
  <si>
    <t>🤲 4th Namaz (Maghrib)</t>
  </si>
  <si>
    <t>⏸️ Free Time / Tea</t>
  </si>
  <si>
    <t>Relax with family or check messages. No heavy study.</t>
  </si>
  <si>
    <t>🤲 5th Namaz (Isha)</t>
  </si>
  <si>
    <t>🍽️ Dinner</t>
  </si>
  <si>
    <t>Eat dinner with family.</t>
  </si>
  <si>
    <t>🔄 Quick Review</t>
  </si>
  <si>
    <t>Look at your notes from the morning one last time (Active Recall).</t>
  </si>
  <si>
    <t>📵 Digital Detox</t>
  </si>
  <si>
    <t>Put phone away. Brush teeth. Get ready for bed.</t>
  </si>
  <si>
    <t>🛌 Sleep</t>
  </si>
  <si>
    <t>Sleep is crucial for memory. Goodnight!</t>
  </si>
  <si>
    <t>Subjects</t>
  </si>
  <si>
    <t>Add subjects or courses for the semester</t>
  </si>
  <si>
    <t>Math</t>
  </si>
  <si>
    <t>Biology</t>
  </si>
  <si>
    <t>Geography</t>
  </si>
  <si>
    <t>Physics</t>
  </si>
  <si>
    <t>📅 MONTHLY PROGRESS TRACKER</t>
  </si>
  <si>
    <t>Month:</t>
  </si>
  <si>
    <t>December 2025</t>
  </si>
  <si>
    <t>Year:</t>
  </si>
  <si>
    <t>#</t>
  </si>
  <si>
    <t>Completion %</t>
  </si>
  <si>
    <t>4:00 AM</t>
  </si>
  <si>
    <t>4:15 AM</t>
  </si>
  <si>
    <t>🏃♂️ Morning Exercise</t>
  </si>
  <si>
    <t>4:45 AM</t>
  </si>
  <si>
    <t>5:30 AM</t>
  </si>
  <si>
    <t>6:00 AM</t>
  </si>
  <si>
    <t>6:30 AM</t>
  </si>
  <si>
    <t>7:30 AM</t>
  </si>
  <si>
    <t>10:30 AM</t>
  </si>
  <si>
    <t>🚶♂️ Long Break</t>
  </si>
  <si>
    <t>11:00 AM</t>
  </si>
  <si>
    <t>1:00 PM</t>
  </si>
  <si>
    <t>1:30 PM</t>
  </si>
  <si>
    <t>2:00 PM</t>
  </si>
  <si>
    <t>2:40 PM</t>
  </si>
  <si>
    <t>4:00 PM</t>
  </si>
  <si>
    <t>4:20 PM</t>
  </si>
  <si>
    <t>5:00 PM</t>
  </si>
  <si>
    <t>5:30 PM</t>
  </si>
  <si>
    <t>7:00 PM</t>
  </si>
  <si>
    <t>7:30 PM</t>
  </si>
  <si>
    <t>8:30 PM</t>
  </si>
  <si>
    <t>9:30 PM</t>
  </si>
  <si>
    <t>10:00 PM</t>
  </si>
  <si>
    <t>DAILY COMPLETION %</t>
  </si>
  <si>
    <t>LEGEND:</t>
  </si>
  <si>
    <t>✓ = Done</t>
  </si>
  <si>
    <t>✗ = Skipped</t>
  </si>
  <si>
    <t>○ = Not Started</t>
  </si>
  <si>
    <t>⚡ =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</si>
</sst>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b val="0"/>
      <i val="0"/>
      <sz val="10"/>
      <color rgb="FF000000"/>
      <name val="Arial"/>
    </font>
    <font>
      <b val="0"/>
      <i val="0"/>
      <sz val="22"/>
      <color rgb="FFFFFFFF"/>
      <name val="Amaranth"/>
    </font>
    <font>
      <b val="0"/>
      <i val="0"/>
      <sz val="10"/>
      <color rgb="FFFFFFFF"/>
      <name val="Arial"/>
    </font>
    <font>
      <b val="0"/>
      <i val="0"/>
      <sz val="10"/>
      <color auto="1"/>
      <name val="Open Sans"/>
    </font>
    <font>
      <b val="0"/>
      <i val="0"/>
      <sz val="10"/>
      <color rgb="FF000000"/>
      <name val="Open Sans"/>
    </font>
    <font>
      <b/>
      <i val="0"/>
      <sz val="24"/>
      <color rgb="FF000000"/>
      <name val="Economica"/>
    </font>
    <font>
      <b val="0"/>
      <i val="0"/>
      <sz val="10"/>
      <color rgb="FF9FC5E8"/>
      <name val="Arial"/>
    </font>
    <font>
      <b val="0"/>
      <i val="0"/>
      <sz val="10"/>
      <color rgb="FF666666"/>
      <name val="Open Sans"/>
    </font>
    <font>
      <b val="0"/>
      <i val="0"/>
      <sz val="14"/>
      <color rgb="FFFFFFFF"/>
      <name val="Arial Black"/>
    </font>
    <font>
      <b/>
      <i val="0"/>
      <u/>
      <sz val="12"/>
      <color rgb="FFFFFFFF"/>
      <name val="Arial"/>
    </font>
    <font>
      <b/>
      <i val="0"/>
      <u/>
      <sz val="12"/>
      <color theme="1"/>
      <name val="Aptos Narrow"/>
      <scheme val="minor"/>
    </font>
    <font>
      <b/>
      <i val="0"/>
      <u/>
      <sz val="12"/>
      <color auto="1"/>
      <name val="Open Sans"/>
    </font>
    <font>
      <b/>
      <i val="0"/>
      <u/>
      <sz val="12"/>
      <color rgb="FF000000"/>
      <name val="Arial"/>
    </font>
    <font>
      <b val="0"/>
      <i val="0"/>
      <sz val="14"/>
      <color theme="9" tint="-0.5"/>
      <name val="Arial Black"/>
    </font>
    <font>
      <b/>
      <i val="0"/>
      <sz val="14"/>
      <color theme="9"/>
      <name val="Arial"/>
    </font>
    <font>
      <b/>
      <i val="0"/>
      <sz val="14"/>
      <color rgb="FF000000"/>
      <name val="Economica"/>
    </font>
    <font>
      <b val="0"/>
      <i val="0"/>
      <sz val="10"/>
      <color theme="1"/>
      <name val="Aptos Narrow"/>
      <scheme val="minor"/>
    </font>
    <font>
      <b/>
      <i val="0"/>
      <sz val="14"/>
      <color rgb="FF000000"/>
      <name val="Arial Black"/>
    </font>
    <font>
      <b/>
      <i val="0"/>
      <sz val="18"/>
      <color rgb="FFFFFFFF"/>
      <name val="Aptos Narrow"/>
    </font>
    <font>
      <b/>
      <i val="0"/>
      <sz val="11"/>
      <name val="Aptos Narrow"/>
    </font>
    <font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A777"/>
      </patternFill>
    </fill>
    <fill>
      <patternFill patternType="solid">
        <fgColor theme="9" tint="-0.25"/>
      </patternFill>
    </fill>
    <fill>
      <patternFill patternType="solid">
        <fgColor theme="6" tint="0.8"/>
      </patternFill>
    </fill>
    <fill>
      <patternFill patternType="solid">
        <fgColor theme="0" tint="-0.15"/>
      </patternFill>
    </fill>
    <fill>
      <patternFill patternType="solid">
        <fgColor theme="9" tint="0.8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DEEBF7"/>
      </patternFill>
    </fill>
  </fills>
  <borders count="15">
    <border>
      <left/>
      <right/>
      <top/>
      <bottom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A777"/>
      </left>
      <right style="thin">
        <color rgb="FFCCA777"/>
      </right>
      <top style="thin">
        <color rgb="FFCCA77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3F3F3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52">
    <xf numFmtId="0" fontId="0" fillId="0" borderId="1" xfId="0"/>
    <xf numFmtId="0" fontId="0" fillId="7" borderId="12" xfId="0">
      <alignment horizontal="center" vertical="bottom"/>
    </xf>
    <xf numFmtId="0" fontId="0" fillId="7" borderId="13" xfId="0">
      <alignment horizontal="center" vertical="bottom"/>
    </xf>
    <xf numFmtId="0" fontId="1" fillId="2" borderId="2" xfId="0">
      <alignment vertical="top" wrapText="1"/>
    </xf>
    <xf numFmtId="0" fontId="2" fillId="2" borderId="2" xfId="0">
      <alignment horizontal="left" vertical="top" wrapText="1"/>
    </xf>
    <xf numFmtId="0" fontId="17" fillId="7" borderId="11" xfId="0">
      <alignment horizontal="center" vertical="center" wrapText="1"/>
    </xf>
    <xf numFmtId="0" fontId="15" fillId="7" borderId="9" xfId="0">
      <alignment horizontal="center" vertical="center" wrapText="1"/>
    </xf>
    <xf numFmtId="0" fontId="15" fillId="7" borderId="10" xfId="0">
      <alignment horizontal="center" vertical="center" wrapText="1"/>
    </xf>
    <xf numFmtId="0" fontId="15" fillId="7" borderId="11" xfId="0">
      <alignment horizontal="center" vertical="center" wrapText="1"/>
    </xf>
    <xf numFmtId="0" fontId="8" fillId="4" borderId="1" xfId="0">
      <alignment horizontal="center" vertical="center" wrapText="1"/>
    </xf>
    <xf numFmtId="0" fontId="9" fillId="4" borderId="1" xfId="0">
      <alignment horizontal="right" vertical="center" wrapText="1"/>
    </xf>
    <xf numFmtId="0" fontId="2" fillId="4" borderId="1" xfId="0">
      <alignment horizontal="left" vertical="center" wrapText="1"/>
    </xf>
    <xf numFmtId="0" fontId="2" fillId="4" borderId="1" xfId="0">
      <alignment horizontal="center" vertical="center" wrapText="1"/>
    </xf>
    <xf numFmtId="0" fontId="2" fillId="4" borderId="1" xfId="0">
      <alignment vertical="center" wrapText="1"/>
    </xf>
    <xf numFmtId="0" fontId="13" fillId="6" borderId="1" xfId="0">
      <alignment horizontal="center" vertical="center"/>
    </xf>
    <xf numFmtId="0" fontId="14" fillId="0" borderId="1" xfId="0">
      <alignment horizontal="center" vertical="center"/>
    </xf>
    <xf numFmtId="0" fontId="3" fillId="0" borderId="8" xfId="0">
      <alignment horizontal="center" vertical="center"/>
    </xf>
    <xf numFmtId="18" fontId="10" fillId="5" borderId="1" xfId="0">
      <alignment horizontal="center" vertical="center"/>
    </xf>
    <xf numFmtId="0" fontId="16" fillId="0" borderId="1" xfId="0">
      <alignment horizontal="left" vertical="center"/>
    </xf>
    <xf numFmtId="0" fontId="3" fillId="0" borderId="8" xfId="0">
      <alignment horizontal="center" vertical="center" wrapText="1"/>
    </xf>
    <xf numFmtId="15" fontId="0" fillId="0" borderId="1" xfId="0">
      <alignment horizontal="center" vertical="center"/>
    </xf>
    <xf numFmtId="0" fontId="0" fillId="0" borderId="1" xfId="0">
      <alignment horizontal="center" vertical="center"/>
    </xf>
    <xf numFmtId="0" fontId="3" fillId="0" borderId="5" xfId="0">
      <alignment horizontal="left" vertical="bottom"/>
    </xf>
    <xf numFmtId="0" fontId="11" fillId="5" borderId="5" xfId="0">
      <alignment horizontal="right" vertical="bottom"/>
    </xf>
    <xf numFmtId="0" fontId="3" fillId="0" borderId="5" xfId="0">
      <alignment horizontal="center" vertical="bottom" wrapText="1"/>
    </xf>
    <xf numFmtId="14" fontId="4" fillId="0" borderId="5" xfId="0">
      <alignment horizontal="right" vertical="bottom"/>
    </xf>
    <xf numFmtId="0" fontId="3" fillId="0" borderId="5" xfId="0"/>
    <xf numFmtId="0" fontId="3" fillId="0" borderId="6" xfId="0">
      <alignment horizontal="left" vertical="bottom"/>
    </xf>
    <xf numFmtId="0" fontId="11" fillId="5" borderId="6" xfId="0">
      <alignment horizontal="right" vertical="bottom"/>
    </xf>
    <xf numFmtId="0" fontId="3" fillId="0" borderId="6" xfId="0">
      <alignment horizontal="center" vertical="bottom" wrapText="1"/>
    </xf>
    <xf numFmtId="14" fontId="4" fillId="0" borderId="6" xfId="0">
      <alignment horizontal="right" vertical="bottom"/>
    </xf>
    <xf numFmtId="0" fontId="3" fillId="0" borderId="6" xfId="0"/>
    <xf numFmtId="0" fontId="12" fillId="5" borderId="1" xfId="0"/>
    <xf numFmtId="0" fontId="0" fillId="0" borderId="1" xfId="0">
      <alignment horizontal="left" vertical="bottom"/>
    </xf>
    <xf numFmtId="0" fontId="0" fillId="0" borderId="1" xfId="0">
      <alignment horizontal="center" vertical="bottom"/>
    </xf>
    <xf numFmtId="0" fontId="5" fillId="2" borderId="2" xfId="0">
      <alignment vertical="top" wrapText="1"/>
    </xf>
    <xf numFmtId="0" fontId="6" fillId="2" borderId="2" xfId="0">
      <alignment horizontal="left" vertical="top" wrapText="1"/>
    </xf>
    <xf numFmtId="0" fontId="7" fillId="2" borderId="7" xfId="0">
      <alignment vertical="center" wrapText="1"/>
    </xf>
    <xf numFmtId="0" fontId="2" fillId="3" borderId="3" xfId="0">
      <alignment vertical="bottom" wrapText="1"/>
    </xf>
    <xf numFmtId="0" fontId="2" fillId="3" borderId="3" xfId="0">
      <alignment vertical="center" wrapText="1"/>
    </xf>
    <xf numFmtId="0" fontId="3" fillId="0" borderId="4" xfId="0"/>
    <xf numFmtId="14" fontId="4" fillId="0" borderId="4" xfId="0">
      <alignment horizontal="right" vertical="bottom"/>
    </xf>
    <xf numFmtId="0" fontId="18" fillId="8" borderId="0" xfId="0">
      <alignment horizontal="center" vertical="center"/>
    </xf>
    <xf numFmtId="0" fontId="19" fillId="9" borderId="14" xfId="0">
      <alignment horizontal="center" vertical="center"/>
    </xf>
    <xf numFmtId="0" fontId="20" fillId="10" borderId="14" xfId="0">
      <alignment horizontal="center" vertical="center"/>
    </xf>
    <xf numFmtId="0" fontId="20" fillId="10" borderId="14" xfId="0">
      <alignment horizontal="left" vertical="center"/>
    </xf>
    <xf numFmtId="0" fontId="20" fillId="11" borderId="14" xfId="0">
      <alignment horizontal="center" vertical="center"/>
    </xf>
    <xf numFmtId="10" fontId="20" fillId="12" borderId="0" xfId="0">
      <alignment vertical="top"/>
    </xf>
    <xf numFmtId="0" fontId="20" fillId="13" borderId="14" xfId="0">
      <alignment horizontal="center" vertical="center"/>
    </xf>
    <xf numFmtId="0" fontId="20" fillId="13" borderId="14" xfId="0">
      <alignment horizontal="left" vertical="center"/>
    </xf>
    <xf numFmtId="0" fontId="19" fillId="0" borderId="0" xfId="0">
      <alignment horizontal="left" vertical="center"/>
    </xf>
    <xf numFmtId="0" fontId="19" fillId="0" borderId="0" xfId="0">
      <alignment vertical="top"/>
    </xf>
  </cellXfs>
  <cellStyles count="1">
    <cellStyle name="Normal" xfId="0" builtinId="0"/>
  </cellStyles>
  <dxfs count="17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ont>
        <b val="0"/>
        <i/>
        <color rgb="FFFF0000"/>
      </font>
    </dxf>
    <dxf>
      <font>
        <b/>
        <i/>
        <color rgb="FFFF0000"/>
      </font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color rgb="FF00B050"/>
      </font>
    </dxf>
    <dxf>
      <font>
        <b val="0"/>
        <i/>
        <color rgb="FFFFC000"/>
      </font>
    </dxf>
    <dxf>
      <font>
        <strike/>
        <color rgb="FFFF0000"/>
      </font>
      <fill>
        <patternFill patternType="solid">
          <fgColor rgb="FFFFCDCD"/>
          <bgColor rgb="FFFFCDCD"/>
        </patternFill>
      </fill>
    </dxf>
    <dxf>
      <fill>
        <patternFill patternType="solid">
          <fgColor rgb="FFFFEEB7"/>
          <bgColor rgb="FFFFEEB7"/>
        </patternFill>
      </fill>
    </dxf>
    <dxf>
      <fill>
        <patternFill patternType="solid">
          <fgColor rgb="FFDCF0C6"/>
          <bgColor rgb="FFDCF0C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C2815B8-8E18-249F-54B8-50795D89CAE8}" mc:Ignorable="x14ac xr xr2 xr3">
  <sheetPr>
    <outlinePr summaryBelow="0" summaryRight="0"/>
  </sheetPr>
  <dimension ref="A1:GR1000"/>
  <sheetViews>
    <sheetView topLeftCell="A1" zoomScale="95" workbookViewId="0">
      <pane ySplit="3" topLeftCell="A4" activePane="bottomLeft" state="frozen"/>
      <selection pane="bottomLeft" activeCell="J7" sqref="J7"/>
    </sheetView>
  </sheetViews>
  <sheetFormatPr defaultRowHeight="15.75" defaultColWidth="12.57421875" customHeight="1"/>
  <cols>
    <col min="1" max="1" style="14" width="10.421875" customWidth="1"/>
    <col min="2" max="2" width="5.7109375" customWidth="1"/>
    <col min="3" max="3" width="11.8515625" customWidth="1"/>
    <col min="4" max="4" style="32" width="9.57421875" customWidth="1"/>
    <col min="5" max="5" style="33" width="21.28125" customWidth="1"/>
    <col min="6" max="6" style="34" width="102.140625" customWidth="1"/>
    <col min="7" max="7" width="9.8515625" customWidth="1"/>
    <col min="8" max="8" width="11.421875" customWidth="1"/>
    <col min="9" max="9" width="10.421875" customWidth="1"/>
    <col min="10" max="10" width="21.421875" customWidth="1"/>
  </cols>
  <sheetData>
    <row r="1" ht="12" customHeight="1">
      <c r="A1" s="1"/>
      <c r="B1" s="1"/>
      <c r="C1" s="1"/>
      <c r="D1" s="1"/>
      <c r="E1" s="1"/>
      <c r="F1" s="1"/>
      <c r="G1" s="1"/>
      <c r="H1" s="2"/>
      <c r="I1" s="3"/>
      <c r="J1" s="4"/>
    </row>
    <row r="2" ht="29.25" customHeight="1">
      <c r="A2" s="5" t="s">
        <v>0</v>
      </c>
      <c r="B2" s="6" t="s">
        <v>1</v>
      </c>
      <c r="C2" s="7"/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ht="4.5" customHeight="1">
      <c r="A3" s="9"/>
      <c r="B3" s="9"/>
      <c r="C3" s="9"/>
      <c r="D3" s="10"/>
      <c r="E3" s="11"/>
      <c r="F3" s="12"/>
      <c r="G3" s="13"/>
      <c r="H3" s="13"/>
    </row>
    <row r="4" ht="22.5" customHeight="1">
      <c r="A4" s="14" cm="1">
        <f t="array" ref="A4:A25">_xlfn.SEQUENCE(COUNTA(C:C))</f>
        <v>1</v>
      </c>
      <c r="B4" s="15" t="str">
        <f t="shared" si="0" ref="B4:B25">IF(C4="In progress","⚠️ ",IF(C4="done","☑️ ",IF(C4="skipped","❌ ",IF(C4="Not started","⁉️ ",A4))))</f>
        <v>⁉️ </v>
      </c>
      <c r="C4" s="16" t="s">
        <v>8</v>
      </c>
      <c r="D4" s="17">
        <v>0.16666666666666666</v>
      </c>
      <c r="E4" s="18" t="s">
        <v>9</v>
      </c>
      <c r="F4" s="19" t="s">
        <v>10</v>
      </c>
      <c r="G4" s="20">
        <v>46023</v>
      </c>
      <c r="H4" s="21" t="s">
        <v>11</v>
      </c>
    </row>
    <row r="5" ht="30" customHeight="1">
      <c r="A5" s="14">
        <v>2</v>
      </c>
      <c r="B5" s="15" t="str">
        <f t="shared" si="0"/>
        <v>⁉️ </v>
      </c>
      <c r="C5" s="16" t="s">
        <v>8</v>
      </c>
      <c r="D5" s="17">
        <v>0.17708333333333334</v>
      </c>
      <c r="E5" s="18" t="s">
        <v>12</v>
      </c>
      <c r="F5" s="19" t="s">
        <v>13</v>
      </c>
      <c r="G5" s="20">
        <v>46024</v>
      </c>
      <c r="H5" s="21" t="s">
        <v>14</v>
      </c>
    </row>
    <row r="6" ht="30" customHeight="1">
      <c r="A6" s="14">
        <v>3</v>
      </c>
      <c r="B6" s="15" t="str">
        <f t="shared" si="0"/>
        <v>⁉️ </v>
      </c>
      <c r="C6" s="16" t="s">
        <v>8</v>
      </c>
      <c r="D6" s="17">
        <v>0.19791666666666666</v>
      </c>
      <c r="E6" s="18" t="s">
        <v>15</v>
      </c>
      <c r="F6" s="19" t="s">
        <v>16</v>
      </c>
      <c r="G6" s="20">
        <v>46025</v>
      </c>
      <c r="H6" s="21" t="s">
        <v>17</v>
      </c>
    </row>
    <row r="7" ht="30" customHeight="1">
      <c r="A7" s="14">
        <v>4</v>
      </c>
      <c r="B7" s="15" t="str">
        <f t="shared" si="0"/>
        <v>⁉️ </v>
      </c>
      <c r="C7" s="16" t="s">
        <v>8</v>
      </c>
      <c r="D7" s="17">
        <v>0.22916666666666666</v>
      </c>
      <c r="E7" s="18" t="s">
        <v>18</v>
      </c>
      <c r="F7" s="19" t="s">
        <v>19</v>
      </c>
      <c r="G7" s="20">
        <v>46026</v>
      </c>
      <c r="H7" s="21" t="s">
        <v>20</v>
      </c>
    </row>
    <row r="8" ht="22.5" customHeight="1">
      <c r="A8" s="14">
        <v>5</v>
      </c>
      <c r="B8" s="15" t="str">
        <f t="shared" si="0"/>
        <v>⁉️ </v>
      </c>
      <c r="C8" s="16" t="s">
        <v>8</v>
      </c>
      <c r="D8" s="17">
        <v>0.25</v>
      </c>
      <c r="E8" s="18" t="s">
        <v>21</v>
      </c>
      <c r="F8" s="19" t="s">
        <v>22</v>
      </c>
      <c r="G8" s="20">
        <v>46027</v>
      </c>
      <c r="H8" s="21" t="s">
        <v>23</v>
      </c>
    </row>
    <row r="9" ht="22.5" customHeight="1">
      <c r="A9" s="14">
        <v>6</v>
      </c>
      <c r="B9" s="15" t="str">
        <f t="shared" si="0"/>
        <v>⁉️ </v>
      </c>
      <c r="C9" s="16" t="s">
        <v>8</v>
      </c>
      <c r="D9" s="17">
        <v>0.2708333333333333</v>
      </c>
      <c r="E9" s="18" t="s">
        <v>24</v>
      </c>
      <c r="F9" s="19" t="s">
        <v>25</v>
      </c>
      <c r="G9" s="20">
        <v>46028</v>
      </c>
      <c r="H9" s="21" t="s">
        <v>26</v>
      </c>
    </row>
    <row r="10" ht="30" customHeight="1">
      <c r="A10" s="14">
        <v>7</v>
      </c>
      <c r="B10" s="15" t="str">
        <f t="shared" si="0"/>
        <v>⁉️ </v>
      </c>
      <c r="C10" s="16" t="s">
        <v>8</v>
      </c>
      <c r="D10" s="17">
        <v>0.3125</v>
      </c>
      <c r="E10" s="18" t="s">
        <v>27</v>
      </c>
      <c r="F10" s="19" t="s">
        <v>28</v>
      </c>
      <c r="G10" s="20">
        <v>46029</v>
      </c>
      <c r="H10" s="21" t="s">
        <v>29</v>
      </c>
    </row>
    <row r="11" ht="22.5" customHeight="1">
      <c r="A11" s="14">
        <v>8</v>
      </c>
      <c r="B11" s="15" t="str">
        <f t="shared" si="0"/>
        <v>⁉️ </v>
      </c>
      <c r="C11" s="16" t="s">
        <v>8</v>
      </c>
      <c r="D11" s="17">
        <v>0.4375</v>
      </c>
      <c r="E11" s="18" t="s">
        <v>30</v>
      </c>
      <c r="F11" s="19" t="s">
        <v>31</v>
      </c>
      <c r="G11" s="20">
        <v>46030</v>
      </c>
      <c r="H11" s="21" t="s">
        <v>11</v>
      </c>
    </row>
    <row r="12" ht="30" customHeight="1">
      <c r="A12" s="14">
        <v>9</v>
      </c>
      <c r="B12" s="15" t="str">
        <f t="shared" si="0"/>
        <v>⁉️ </v>
      </c>
      <c r="C12" s="16" t="s">
        <v>8</v>
      </c>
      <c r="D12" s="17">
        <v>0.4583333333333333</v>
      </c>
      <c r="E12" s="18" t="s">
        <v>32</v>
      </c>
      <c r="F12" s="19" t="s">
        <v>33</v>
      </c>
      <c r="G12" s="20">
        <v>46031</v>
      </c>
      <c r="H12" s="21" t="s">
        <v>14</v>
      </c>
    </row>
    <row r="13" ht="22.5" customHeight="1">
      <c r="A13" s="14">
        <v>10</v>
      </c>
      <c r="B13" s="15" t="str">
        <f t="shared" si="0"/>
        <v>⁉️ </v>
      </c>
      <c r="C13" s="16" t="s">
        <v>8</v>
      </c>
      <c r="D13" s="17">
        <v>0.5416666666666666</v>
      </c>
      <c r="E13" s="18" t="s">
        <v>34</v>
      </c>
      <c r="F13" s="19" t="s">
        <v>35</v>
      </c>
      <c r="G13" s="20">
        <v>46032</v>
      </c>
      <c r="H13" s="21" t="s">
        <v>17</v>
      </c>
    </row>
    <row r="14" ht="22.5" customHeight="1">
      <c r="A14" s="14">
        <v>11</v>
      </c>
      <c r="B14" s="15" t="str">
        <f t="shared" si="0"/>
        <v>⁉️ </v>
      </c>
      <c r="C14" s="16" t="s">
        <v>8</v>
      </c>
      <c r="D14" s="17">
        <v>0.5625</v>
      </c>
      <c r="E14" s="18" t="s">
        <v>36</v>
      </c>
      <c r="F14" s="19" t="s">
        <v>37</v>
      </c>
      <c r="G14" s="20">
        <v>46033</v>
      </c>
      <c r="H14" s="21" t="s">
        <v>20</v>
      </c>
    </row>
    <row r="15" ht="22.5" customHeight="1">
      <c r="A15" s="14">
        <v>12</v>
      </c>
      <c r="B15" s="15" t="str">
        <f t="shared" si="0"/>
        <v>⁉️ </v>
      </c>
      <c r="C15" s="16" t="s">
        <v>8</v>
      </c>
      <c r="D15" s="17">
        <v>0.5833333333333334</v>
      </c>
      <c r="E15" s="18" t="s">
        <v>38</v>
      </c>
      <c r="F15" s="19" t="s">
        <v>39</v>
      </c>
      <c r="G15" s="20">
        <v>46034</v>
      </c>
      <c r="H15" s="21" t="s">
        <v>23</v>
      </c>
    </row>
    <row r="16" ht="30" customHeight="1">
      <c r="A16" s="14">
        <v>13</v>
      </c>
      <c r="B16" s="15" t="str">
        <f t="shared" si="0"/>
        <v>⁉️ </v>
      </c>
      <c r="C16" s="16" t="s">
        <v>8</v>
      </c>
      <c r="D16" s="17">
        <v>0.6111111111111112</v>
      </c>
      <c r="E16" s="18" t="s">
        <v>40</v>
      </c>
      <c r="F16" s="19" t="s">
        <v>41</v>
      </c>
      <c r="G16" s="20">
        <v>46035</v>
      </c>
      <c r="H16" s="21" t="s">
        <v>26</v>
      </c>
    </row>
    <row r="17" ht="22.5" customHeight="1">
      <c r="A17" s="14">
        <v>14</v>
      </c>
      <c r="B17" s="15" t="str">
        <f t="shared" si="0"/>
        <v>⁉️ </v>
      </c>
      <c r="C17" s="16" t="s">
        <v>8</v>
      </c>
      <c r="D17" s="17">
        <v>0.6666666666666666</v>
      </c>
      <c r="E17" s="18" t="s">
        <v>42</v>
      </c>
      <c r="F17" s="19" t="s">
        <v>37</v>
      </c>
      <c r="G17" s="20">
        <v>46036</v>
      </c>
      <c r="H17" s="21" t="s">
        <v>29</v>
      </c>
    </row>
    <row r="18" ht="30" customHeight="1">
      <c r="A18" s="14">
        <v>15</v>
      </c>
      <c r="B18" s="15" t="str">
        <f t="shared" si="0"/>
        <v>⁉️ </v>
      </c>
      <c r="C18" s="16" t="s">
        <v>8</v>
      </c>
      <c r="D18" s="17">
        <v>0.6805555555555556</v>
      </c>
      <c r="E18" s="18" t="s">
        <v>43</v>
      </c>
      <c r="F18" s="19" t="s">
        <v>44</v>
      </c>
      <c r="G18" s="20">
        <v>46037</v>
      </c>
      <c r="H18" s="21" t="s">
        <v>11</v>
      </c>
    </row>
    <row r="19" ht="22.5" customHeight="1">
      <c r="A19" s="14">
        <v>16</v>
      </c>
      <c r="B19" s="15" t="str">
        <f t="shared" si="0"/>
        <v>⁉️ </v>
      </c>
      <c r="C19" s="16" t="s">
        <v>8</v>
      </c>
      <c r="D19" s="17">
        <v>0.7083333333333334</v>
      </c>
      <c r="E19" s="18" t="s">
        <v>45</v>
      </c>
      <c r="F19" s="19" t="s">
        <v>37</v>
      </c>
      <c r="G19" s="20">
        <v>46038</v>
      </c>
      <c r="H19" s="21" t="s">
        <v>14</v>
      </c>
    </row>
    <row r="20" ht="22.5" customHeight="1">
      <c r="A20" s="14">
        <v>17</v>
      </c>
      <c r="B20" s="15" t="str">
        <f t="shared" si="0"/>
        <v>⁉️ </v>
      </c>
      <c r="C20" s="16" t="s">
        <v>8</v>
      </c>
      <c r="D20" s="17">
        <v>0.7291666666666666</v>
      </c>
      <c r="E20" s="18" t="s">
        <v>46</v>
      </c>
      <c r="F20" s="19" t="s">
        <v>47</v>
      </c>
      <c r="G20" s="20">
        <v>46039</v>
      </c>
      <c r="H20" s="21" t="s">
        <v>17</v>
      </c>
    </row>
    <row r="21" ht="22.5" customHeight="1">
      <c r="A21" s="14">
        <v>18</v>
      </c>
      <c r="B21" s="15" t="str">
        <f t="shared" si="0"/>
        <v>⁉️ </v>
      </c>
      <c r="C21" s="16" t="s">
        <v>8</v>
      </c>
      <c r="D21" s="17">
        <v>0.7916666666666666</v>
      </c>
      <c r="E21" s="18" t="s">
        <v>48</v>
      </c>
      <c r="F21" s="19" t="s">
        <v>37</v>
      </c>
      <c r="G21" s="20">
        <v>46040</v>
      </c>
      <c r="H21" s="21" t="s">
        <v>20</v>
      </c>
    </row>
    <row r="22" ht="22.5" customHeight="1">
      <c r="A22" s="14">
        <v>19</v>
      </c>
      <c r="B22" s="15" t="str">
        <f t="shared" si="0"/>
        <v>⁉️ </v>
      </c>
      <c r="C22" s="16" t="s">
        <v>8</v>
      </c>
      <c r="D22" s="17">
        <v>0.8125</v>
      </c>
      <c r="E22" s="18" t="s">
        <v>49</v>
      </c>
      <c r="F22" s="19" t="s">
        <v>50</v>
      </c>
      <c r="G22" s="20">
        <v>46041</v>
      </c>
      <c r="H22" s="21" t="s">
        <v>23</v>
      </c>
    </row>
    <row r="23" ht="30" customHeight="1">
      <c r="A23" s="14">
        <v>20</v>
      </c>
      <c r="B23" s="15" t="str">
        <f t="shared" si="0"/>
        <v>⁉️ </v>
      </c>
      <c r="C23" s="16" t="s">
        <v>8</v>
      </c>
      <c r="D23" s="17">
        <v>0.8541666666666666</v>
      </c>
      <c r="E23" s="18" t="s">
        <v>51</v>
      </c>
      <c r="F23" s="19" t="s">
        <v>52</v>
      </c>
      <c r="G23" s="20">
        <v>46042</v>
      </c>
      <c r="H23" s="21" t="s">
        <v>26</v>
      </c>
    </row>
    <row r="24" ht="22.5" customHeight="1">
      <c r="A24" s="14">
        <v>21</v>
      </c>
      <c r="B24" s="15" t="str">
        <f t="shared" si="0"/>
        <v>⁉️ </v>
      </c>
      <c r="C24" s="16" t="s">
        <v>8</v>
      </c>
      <c r="D24" s="17">
        <v>0.8958333333333334</v>
      </c>
      <c r="E24" s="18" t="s">
        <v>53</v>
      </c>
      <c r="F24" s="19" t="s">
        <v>54</v>
      </c>
      <c r="G24" s="20">
        <v>46043</v>
      </c>
      <c r="H24" s="21" t="s">
        <v>29</v>
      </c>
    </row>
    <row r="25" ht="22.5" customHeight="1">
      <c r="A25" s="14">
        <v>22</v>
      </c>
      <c r="B25" s="15" t="str">
        <f t="shared" si="0"/>
        <v>⁉️ </v>
      </c>
      <c r="C25" s="16" t="s">
        <v>8</v>
      </c>
      <c r="D25" s="17">
        <v>0.9166666666666666</v>
      </c>
      <c r="E25" s="18" t="s">
        <v>55</v>
      </c>
      <c r="F25" s="19" t="s">
        <v>56</v>
      </c>
      <c r="G25" s="20">
        <v>46044</v>
      </c>
      <c r="H25" s="21" t="s">
        <v>11</v>
      </c>
    </row>
    <row r="26" ht="22.5" customHeight="1">
      <c r="C26" s="22"/>
      <c r="D26" s="23"/>
      <c r="E26" s="22"/>
      <c r="F26" s="24"/>
    </row>
    <row r="27" ht="22.5" customHeight="1">
      <c r="C27" s="22"/>
      <c r="D27" s="23"/>
      <c r="E27" s="22"/>
      <c r="F27" s="24"/>
    </row>
    <row r="28" ht="22.5" customHeight="1">
      <c r="C28" s="22"/>
      <c r="D28" s="23"/>
      <c r="E28" s="22"/>
      <c r="F28" s="24"/>
    </row>
    <row r="29" ht="22.5" customHeight="1">
      <c r="C29" s="22"/>
      <c r="D29" s="23"/>
      <c r="E29" s="22"/>
      <c r="F29" s="24"/>
    </row>
    <row r="30" ht="22.5" customHeight="1">
      <c r="C30" s="22"/>
      <c r="D30" s="23"/>
      <c r="E30" s="22"/>
      <c r="F30" s="24"/>
    </row>
    <row r="31" ht="22.5" customHeight="1">
      <c r="C31" s="22"/>
      <c r="D31" s="23"/>
      <c r="E31" s="22"/>
      <c r="F31" s="24"/>
    </row>
    <row r="32" ht="22.5" customHeight="1">
      <c r="C32" s="22"/>
      <c r="D32" s="23"/>
      <c r="E32" s="22"/>
      <c r="F32" s="24"/>
    </row>
    <row r="33" ht="22.5" customHeight="1">
      <c r="C33" s="22"/>
      <c r="D33" s="23"/>
      <c r="E33" s="22"/>
      <c r="F33" s="24"/>
    </row>
    <row r="34" ht="22.5" customHeight="1">
      <c r="C34" s="22"/>
      <c r="D34" s="23"/>
      <c r="E34" s="22"/>
      <c r="F34" s="24"/>
    </row>
    <row r="35" ht="22.5" customHeight="1">
      <c r="C35" s="22"/>
      <c r="D35" s="23"/>
      <c r="E35" s="22"/>
      <c r="F35" s="24"/>
      <c r="H35" s="25"/>
      <c r="I35" s="25"/>
      <c r="J35" s="26"/>
    </row>
    <row r="36" ht="22.5" customHeight="1">
      <c r="C36" s="22"/>
      <c r="D36" s="23"/>
      <c r="E36" s="22"/>
      <c r="F36" s="24"/>
      <c r="H36" s="25"/>
      <c r="I36" s="25"/>
      <c r="J36" s="26"/>
    </row>
    <row r="37" ht="22.5" customHeight="1">
      <c r="C37" s="22"/>
      <c r="D37" s="23"/>
      <c r="E37" s="22"/>
      <c r="F37" s="24"/>
      <c r="H37" s="25"/>
      <c r="I37" s="25"/>
      <c r="J37" s="26"/>
    </row>
    <row r="38" ht="22.5" customHeight="1">
      <c r="C38" s="22"/>
      <c r="D38" s="23"/>
      <c r="E38" s="22"/>
      <c r="F38" s="24"/>
      <c r="H38" s="25"/>
      <c r="I38" s="25"/>
      <c r="J38" s="26"/>
    </row>
    <row r="39" ht="22.5" customHeight="1" hidden="1">
      <c r="C39" s="27"/>
      <c r="D39" s="28"/>
      <c r="E39" s="27"/>
      <c r="F39" s="29"/>
      <c r="H39" s="30"/>
      <c r="I39" s="30"/>
      <c r="J39" s="31"/>
    </row>
  </sheetData>
  <mergeCells>
    <mergeCell ref="B2:C2"/>
    <mergeCell ref="A1:H1"/>
  </mergeCells>
  <conditionalFormatting sqref="C4:C25">
    <cfRule type="cellIs" dxfId="0" priority="10" operator="equal" text="null">
      <formula>$C$4="skipped"</formula>
    </cfRule>
  </conditionalFormatting>
  <conditionalFormatting sqref="C4:C25">
    <cfRule type="cellIs" dxfId="1" priority="11" operator="equal" text="null">
      <formula>$C$4="done"</formula>
    </cfRule>
  </conditionalFormatting>
  <conditionalFormatting sqref="C4:C25">
    <cfRule type="cellIs" dxfId="2" priority="12" operator="equal" text="null">
      <formula>$C$4="progress"</formula>
    </cfRule>
  </conditionalFormatting>
  <conditionalFormatting sqref="C4:C25">
    <cfRule type="expression" dxfId="3" priority="8" text="null">
      <formula>$C4="Not started"</formula>
    </cfRule>
  </conditionalFormatting>
  <conditionalFormatting sqref="C4:C25">
    <cfRule type="expression" dxfId="4" priority="6" text="null">
      <formula>$C4="skipped"</formula>
    </cfRule>
  </conditionalFormatting>
  <conditionalFormatting sqref="H35:J39 C4:C39">
    <cfRule type="expression" dxfId="5" priority="28" text="null">
      <formula>REGEXMATCH(($C4),"Done")</formula>
    </cfRule>
  </conditionalFormatting>
  <conditionalFormatting sqref="C4:C39">
    <cfRule type="cellIs" dxfId="6" priority="16" operator="equal" text="null">
      <formula>"Not started"</formula>
    </cfRule>
  </conditionalFormatting>
  <conditionalFormatting sqref="C4:C39">
    <cfRule type="cellIs" dxfId="7" priority="17" operator="equal" text="null">
      <formula>"In progress"</formula>
    </cfRule>
  </conditionalFormatting>
  <conditionalFormatting sqref="H35:H39">
    <cfRule type="timePeriod" dxfId="8" priority="30" text="null" timePeriod="today"/>
  </conditionalFormatting>
  <conditionalFormatting sqref="H35:H39">
    <cfRule type="expression" dxfId="9" priority="31" text="null">
      <formula>AND($H35&lt;TODAY(),OR($C35="In progress",$C35="Not started"))</formula>
    </cfRule>
  </conditionalFormatting>
  <conditionalFormatting sqref="I35:I39">
    <cfRule type="expression" dxfId="9" priority="32" text="null">
      <formula>AND(OR($C35="In progress",$C35="Not started"),OR($I35=TODAY(),$I35=TODAY()+1))</formula>
    </cfRule>
  </conditionalFormatting>
  <conditionalFormatting sqref="B4:B25">
    <cfRule type="expression" dxfId="10" priority="9" text="null">
      <formula>$C4="Not started"</formula>
    </cfRule>
  </conditionalFormatting>
  <conditionalFormatting sqref="B4:B25">
    <cfRule type="expression" dxfId="11" priority="7" text="null">
      <formula>$C4="skipped"</formula>
    </cfRule>
  </conditionalFormatting>
  <conditionalFormatting sqref="B4:B25">
    <cfRule type="expression" dxfId="12" priority="4" text="null">
      <formula>$C4="done"</formula>
    </cfRule>
  </conditionalFormatting>
  <conditionalFormatting sqref="B4:C25">
    <cfRule type="expression" dxfId="13" priority="5" text="null">
      <formula>$C4="in progress"</formula>
    </cfRule>
  </conditionalFormatting>
  <conditionalFormatting sqref="E4:H25">
    <cfRule type="expression" dxfId="14" priority="3" text="null">
      <formula>$C4="skipped"</formula>
    </cfRule>
  </conditionalFormatting>
  <conditionalFormatting sqref="E4:H25">
    <cfRule type="expression" dxfId="15" priority="2" text="null">
      <formula>$C4="in progress"</formula>
    </cfRule>
  </conditionalFormatting>
  <conditionalFormatting sqref="E4:H25">
    <cfRule type="expression" dxfId="16" priority="1" text="null">
      <formula>$C4="done"</formula>
    </cfRule>
  </conditionalFormatting>
  <dataValidations count="5">
    <dataValidation allowBlank="1" prompt="Status of this assignment" showInputMessage="1" sqref="C4:C38" type="list">
      <formula1>"Not started,In progress,Skipped,Done"</formula1>
    </dataValidation>
    <dataValidation allowBlank="1" prompt="Click and enter a value from the list of items" showInputMessage="1" sqref="C39" type="list">
      <formula1>"Not started,In progress,Done"</formula1>
    </dataValidation>
    <dataValidation allowBlank="1" prompt="Enter a valid date" showInputMessage="1" sqref="H35:I39" type="custom">
      <formula1>OR(NOT(ISERROR(DATEVALUE(H35))),AND(ISNUMBER(H35),LEFT(CELL("format",H35))="D"))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prompt="Click and enter a value from the &quot;Subjects&quot; tab" showInputMessage="1" sqref="E26:E38" type="list">
          <x14:formula1>
            <xm:f>Subjects!$B$5:$B$20</xm:f>
          </x14:formula1>
          <xm:sqref>E26:E38</xm:sqref>
        </x14:dataValidation>
        <x14:dataValidation allowBlank="1" prompt="Click and enter a value from range Subjects!B5:B20" showInputMessage="1" sqref="E39" type="list">
          <x14:formula1>
            <xm:f>Subjects!$B$5:$B$20</xm:f>
          </x14:formula1>
          <xm:sqref>E39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EB13568-80DC-1AD8-2294-F25900D13488}" mc:Ignorable="x14ac xr xr2 xr3">
  <sheetPr>
    <outlinePr summaryBelow="0" summaryRight="0"/>
  </sheetPr>
  <dimension ref="A1:GR1000"/>
  <sheetViews>
    <sheetView topLeftCell="A1" workbookViewId="0">
      <pane ySplit="4" topLeftCell="A5" activePane="bottomLeft" state="frozen"/>
      <selection pane="bottomLeft" activeCell="B6" sqref="B6"/>
    </sheetView>
  </sheetViews>
  <sheetFormatPr defaultRowHeight="15.75" defaultColWidth="12.57421875" customHeight="1"/>
  <cols>
    <col min="1" max="1" width="2.421875" customWidth="1"/>
    <col min="2" max="2" width="33.421875" customWidth="1"/>
    <col min="3" max="3" width="2.421875" customWidth="1"/>
  </cols>
  <sheetData>
    <row r="1" ht="12" customHeight="1">
      <c r="A1" s="3"/>
      <c r="B1" s="3"/>
      <c r="C1" s="4"/>
    </row>
    <row r="2" ht="29.25" customHeight="1">
      <c r="A2" s="3"/>
      <c r="B2" s="35" t="s">
        <v>57</v>
      </c>
      <c r="C2" s="36"/>
    </row>
    <row r="3" ht="29.25" customHeight="1">
      <c r="A3" s="37"/>
      <c r="B3" s="37" t="s">
        <v>58</v>
      </c>
      <c r="C3" s="37"/>
    </row>
    <row r="4" ht="4.5" customHeight="1">
      <c r="A4" s="38"/>
      <c r="B4" s="39"/>
      <c r="C4" s="38"/>
    </row>
    <row r="5" ht="1.5" customHeight="1">
      <c r="A5" s="40"/>
      <c r="B5" s="40" t="s">
        <v>59</v>
      </c>
      <c r="C5" s="41"/>
    </row>
    <row r="6" ht="15" customHeight="1">
      <c r="A6" s="26"/>
      <c r="B6" s="26" t="s">
        <v>60</v>
      </c>
      <c r="C6" s="25"/>
    </row>
    <row r="7" ht="15" customHeight="1">
      <c r="A7" s="26"/>
      <c r="B7" s="26" t="s">
        <v>61</v>
      </c>
      <c r="C7" s="25"/>
    </row>
    <row r="8" ht="15" customHeight="1">
      <c r="A8" s="26"/>
      <c r="B8" s="26" t="s">
        <v>62</v>
      </c>
      <c r="C8" s="25"/>
    </row>
    <row r="9" ht="15" customHeight="1">
      <c r="A9" s="26"/>
      <c r="B9" s="26"/>
      <c r="C9" s="25"/>
    </row>
    <row r="10" ht="15" customHeight="1">
      <c r="A10" s="26"/>
      <c r="B10" s="26"/>
      <c r="C10" s="25"/>
    </row>
    <row r="11" ht="15" customHeight="1">
      <c r="A11" s="26"/>
      <c r="B11" s="26"/>
      <c r="C11" s="25"/>
    </row>
    <row r="12" ht="15" customHeight="1">
      <c r="A12" s="26"/>
      <c r="B12" s="26"/>
      <c r="C12" s="25"/>
    </row>
    <row r="13" ht="15" customHeight="1">
      <c r="A13" s="26"/>
      <c r="B13" s="26"/>
      <c r="C13" s="25"/>
    </row>
    <row r="14" ht="15" customHeight="1">
      <c r="A14" s="26"/>
      <c r="B14" s="26"/>
      <c r="C14" s="25"/>
    </row>
    <row r="15" ht="15" customHeight="1">
      <c r="A15" s="26"/>
      <c r="B15" s="26"/>
      <c r="C15" s="25"/>
    </row>
    <row r="16" ht="15" customHeight="1">
      <c r="A16" s="26"/>
      <c r="B16" s="26"/>
      <c r="C16" s="25"/>
    </row>
    <row r="17" ht="15" customHeight="1">
      <c r="A17" s="26"/>
      <c r="B17" s="26"/>
      <c r="C17" s="25"/>
    </row>
    <row r="18" ht="15" customHeight="1">
      <c r="A18" s="26"/>
      <c r="B18" s="26"/>
      <c r="C18" s="25"/>
    </row>
    <row r="19" ht="15" customHeight="1">
      <c r="A19" s="26"/>
      <c r="B19" s="26"/>
      <c r="C19" s="25"/>
    </row>
    <row r="20" ht="15" customHeight="1">
      <c r="A20" s="26"/>
      <c r="B20" s="26"/>
      <c r="C20" s="25"/>
    </row>
  </sheetData>
  <conditionalFormatting sqref="A5:C20">
    <cfRule type="expression" dxfId="5" priority="1" text="null">
      <formula>REGEXMATCH((#REF!),"Done")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B9392F-EAD8-C8B8-958A-1C56D7C75CA8}" mc:Ignorable="x14ac xr xr2 xr3">
  <dimension ref="A1:GR1000"/>
  <sheetViews>
    <sheetView workbookViewId="0" tabSelected="1">
      <pane xSplit="3" ySplit="4" topLeftCell="D9" activePane="bottomRight" state="frozen"/>
      <selection pane="bottomLeft" activeCell="A5" sqref="A5"/>
      <selection pane="topRight" activeCell="D1" sqref="D1"/>
      <selection pane="bottomRight" activeCell="D9" sqref="D9"/>
    </sheetView>
  </sheetViews>
  <sheetFormatPr defaultRowHeight="15" defaultColWidth="8.8515625" customHeight="1"/>
  <cols>
    <col min="1" max="1" width="5.7109375" customWidth="1"/>
    <col min="2" max="2" width="11.421875" customWidth="1"/>
    <col min="3" max="3" width="28.57421875" customWidth="1"/>
    <col min="4" max="34" width="5.00390625" customWidth="1"/>
    <col min="36" max="36" width="14.28125" customWidth="1"/>
  </cols>
  <sheetData>
    <row r="1" ht="22.5" customHeight="1">
      <c r="A1" s="42" t="s">
        <v>63</v>
      </c>
    </row>
    <row r="2" ht="15" customHeight="1">
      <c r="A2" t="s">
        <v>64</v>
      </c>
      <c r="B2" t="s">
        <v>65</v>
      </c>
      <c r="D2" t="s">
        <v>66</v>
      </c>
      <c r="E2">
        <v>2025</v>
      </c>
    </row>
    <row r="4" ht="15" customHeight="1">
      <c r="A4" s="43" t="s">
        <v>67</v>
      </c>
      <c r="B4" s="43" t="s">
        <v>2</v>
      </c>
      <c r="C4" s="43" t="s">
        <v>3</v>
      </c>
      <c r="D4" s="43">
        <v>1</v>
      </c>
      <c r="E4" s="43">
        <v>2</v>
      </c>
      <c r="F4" s="43">
        <v>3</v>
      </c>
      <c r="G4" s="43">
        <v>4</v>
      </c>
      <c r="H4" s="43">
        <v>5</v>
      </c>
      <c r="I4" s="43">
        <v>6</v>
      </c>
      <c r="J4" s="43">
        <v>7</v>
      </c>
      <c r="K4" s="43">
        <v>8</v>
      </c>
      <c r="L4" s="43">
        <v>9</v>
      </c>
      <c r="M4" s="43">
        <v>10</v>
      </c>
      <c r="N4" s="43">
        <v>11</v>
      </c>
      <c r="O4" s="43">
        <v>12</v>
      </c>
      <c r="P4" s="43">
        <v>13</v>
      </c>
      <c r="Q4" s="43">
        <v>14</v>
      </c>
      <c r="R4" s="43">
        <v>15</v>
      </c>
      <c r="S4" s="43">
        <v>16</v>
      </c>
      <c r="T4" s="43">
        <v>17</v>
      </c>
      <c r="U4" s="43">
        <v>18</v>
      </c>
      <c r="V4" s="43">
        <v>19</v>
      </c>
      <c r="W4" s="43">
        <v>20</v>
      </c>
      <c r="X4" s="43">
        <v>21</v>
      </c>
      <c r="Y4" s="43">
        <v>22</v>
      </c>
      <c r="Z4" s="43">
        <v>23</v>
      </c>
      <c r="AA4" s="43">
        <v>24</v>
      </c>
      <c r="AB4" s="43">
        <v>25</v>
      </c>
      <c r="AC4" s="43">
        <v>26</v>
      </c>
      <c r="AD4" s="43">
        <v>27</v>
      </c>
      <c r="AE4" s="43">
        <v>28</v>
      </c>
      <c r="AF4" s="43">
        <v>29</v>
      </c>
      <c r="AG4" s="43">
        <v>30</v>
      </c>
      <c r="AH4" s="43">
        <v>31</v>
      </c>
      <c r="AJ4" s="43" t="s">
        <v>68</v>
      </c>
    </row>
    <row r="5" ht="15" customHeight="1">
      <c r="A5" s="44">
        <v>1</v>
      </c>
      <c r="B5" s="44" t="s">
        <v>69</v>
      </c>
      <c r="C5" s="45" t="s">
        <v>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J5" s="47">
        <f t="shared" si="0" ref="AJ5:AJ26">COUNTIF(D5:AH5,"✓")/31</f>
        <v>0</v>
      </c>
    </row>
    <row r="6" ht="15" customHeight="1">
      <c r="A6" s="48">
        <v>2</v>
      </c>
      <c r="B6" s="48" t="s">
        <v>70</v>
      </c>
      <c r="C6" s="49" t="s">
        <v>71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J6" s="47">
        <f t="shared" si="0"/>
        <v>0</v>
      </c>
    </row>
    <row r="7" ht="15" customHeight="1">
      <c r="A7" s="44">
        <v>3</v>
      </c>
      <c r="B7" s="44" t="s">
        <v>72</v>
      </c>
      <c r="C7" s="45" t="s">
        <v>15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J7" s="47">
        <f t="shared" si="0"/>
        <v>0</v>
      </c>
    </row>
    <row r="8" ht="15" customHeight="1">
      <c r="A8" s="48">
        <v>4</v>
      </c>
      <c r="B8" s="48" t="s">
        <v>73</v>
      </c>
      <c r="C8" s="49" t="s">
        <v>18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J8" s="47">
        <f t="shared" si="0"/>
        <v>0</v>
      </c>
    </row>
    <row r="9" ht="15" customHeight="1">
      <c r="A9" s="44">
        <v>5</v>
      </c>
      <c r="B9" s="44" t="s">
        <v>74</v>
      </c>
      <c r="C9" s="45" t="s">
        <v>21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J9" s="47">
        <f t="shared" si="0"/>
        <v>0</v>
      </c>
    </row>
    <row r="10" ht="15" customHeight="1">
      <c r="A10" s="48">
        <v>6</v>
      </c>
      <c r="B10" s="48" t="s">
        <v>75</v>
      </c>
      <c r="C10" s="49" t="s">
        <v>24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J10" s="47">
        <f t="shared" si="0"/>
        <v>0</v>
      </c>
    </row>
    <row r="11" ht="15" customHeight="1">
      <c r="A11" s="44">
        <v>7</v>
      </c>
      <c r="B11" s="44" t="s">
        <v>76</v>
      </c>
      <c r="C11" s="45" t="s">
        <v>27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J11" s="47">
        <f t="shared" si="0"/>
        <v>0</v>
      </c>
    </row>
    <row r="12" ht="15" customHeight="1">
      <c r="A12" s="48">
        <v>8</v>
      </c>
      <c r="B12" s="48" t="s">
        <v>77</v>
      </c>
      <c r="C12" s="49" t="s">
        <v>78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J12" s="47">
        <f t="shared" si="0"/>
        <v>0</v>
      </c>
    </row>
    <row r="13" ht="15" customHeight="1">
      <c r="A13" s="44">
        <v>9</v>
      </c>
      <c r="B13" s="44" t="s">
        <v>79</v>
      </c>
      <c r="C13" s="45" t="s">
        <v>32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J13" s="47">
        <f t="shared" si="0"/>
        <v>0</v>
      </c>
    </row>
    <row r="14" ht="15" customHeight="1">
      <c r="A14" s="48">
        <v>10</v>
      </c>
      <c r="B14" s="48" t="s">
        <v>80</v>
      </c>
      <c r="C14" s="49" t="s">
        <v>34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J14" s="47">
        <f t="shared" si="0"/>
        <v>0</v>
      </c>
    </row>
    <row r="15" ht="15" customHeight="1">
      <c r="A15" s="44">
        <v>11</v>
      </c>
      <c r="B15" s="44" t="s">
        <v>81</v>
      </c>
      <c r="C15" s="45" t="s">
        <v>36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J15" s="47">
        <f t="shared" si="0"/>
        <v>0</v>
      </c>
    </row>
    <row r="16" ht="15" customHeight="1">
      <c r="A16" s="48">
        <v>12</v>
      </c>
      <c r="B16" s="48" t="s">
        <v>82</v>
      </c>
      <c r="C16" s="49" t="s">
        <v>38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J16" s="47">
        <f t="shared" si="0"/>
        <v>0</v>
      </c>
    </row>
    <row r="17" ht="15" customHeight="1">
      <c r="A17" s="44">
        <v>13</v>
      </c>
      <c r="B17" s="44" t="s">
        <v>83</v>
      </c>
      <c r="C17" s="45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J17" s="47">
        <f t="shared" si="0"/>
        <v>0</v>
      </c>
    </row>
    <row r="18" ht="15" customHeight="1">
      <c r="A18" s="48">
        <v>14</v>
      </c>
      <c r="B18" s="48" t="s">
        <v>84</v>
      </c>
      <c r="C18" s="49" t="s">
        <v>42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J18" s="47">
        <f t="shared" si="0"/>
        <v>0</v>
      </c>
    </row>
    <row r="19" ht="15" customHeight="1">
      <c r="A19" s="44">
        <v>15</v>
      </c>
      <c r="B19" s="44" t="s">
        <v>85</v>
      </c>
      <c r="C19" s="45" t="s">
        <v>43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J19" s="47">
        <f t="shared" si="0"/>
        <v>0</v>
      </c>
    </row>
    <row r="20" ht="15" customHeight="1">
      <c r="A20" s="48">
        <v>16</v>
      </c>
      <c r="B20" s="48" t="s">
        <v>86</v>
      </c>
      <c r="C20" s="49" t="s">
        <v>45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J20" s="47">
        <f t="shared" si="0"/>
        <v>0</v>
      </c>
    </row>
    <row r="21" ht="15" customHeight="1">
      <c r="A21" s="44">
        <v>17</v>
      </c>
      <c r="B21" s="44" t="s">
        <v>87</v>
      </c>
      <c r="C21" s="45" t="s">
        <v>46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J21" s="47">
        <f t="shared" si="0"/>
        <v>0</v>
      </c>
    </row>
    <row r="22" ht="15" customHeight="1">
      <c r="A22" s="48">
        <v>18</v>
      </c>
      <c r="B22" s="48" t="s">
        <v>88</v>
      </c>
      <c r="C22" s="49" t="s">
        <v>48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J22" s="47">
        <f t="shared" si="0"/>
        <v>0</v>
      </c>
    </row>
    <row r="23" ht="15" customHeight="1">
      <c r="A23" s="44">
        <v>19</v>
      </c>
      <c r="B23" s="44" t="s">
        <v>89</v>
      </c>
      <c r="C23" s="45" t="s">
        <v>49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J23" s="47">
        <f t="shared" si="0"/>
        <v>0</v>
      </c>
    </row>
    <row r="24" ht="15" customHeight="1">
      <c r="A24" s="48">
        <v>20</v>
      </c>
      <c r="B24" s="48" t="s">
        <v>90</v>
      </c>
      <c r="C24" s="49" t="s">
        <v>51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J24" s="47">
        <f t="shared" si="0"/>
        <v>0</v>
      </c>
    </row>
    <row r="25" ht="15" customHeight="1">
      <c r="A25" s="44">
        <v>21</v>
      </c>
      <c r="B25" s="44" t="s">
        <v>91</v>
      </c>
      <c r="C25" s="45" t="s">
        <v>53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J25" s="47">
        <f t="shared" si="0"/>
        <v>0</v>
      </c>
    </row>
    <row r="26" ht="15" customHeight="1">
      <c r="A26" s="48">
        <v>22</v>
      </c>
      <c r="B26" s="48" t="s">
        <v>92</v>
      </c>
      <c r="C26" s="49" t="s">
        <v>55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J26" s="47">
        <f t="shared" si="0"/>
        <v>0</v>
      </c>
    </row>
    <row r="28" ht="15" customHeight="1">
      <c r="A28" s="50" t="s">
        <v>93</v>
      </c>
      <c r="D28" s="47">
        <f t="shared" si="1" ref="D28:AH28">COUNTIF(D5:D26,"✓")/22</f>
        <v>0</v>
      </c>
      <c r="E28" s="47">
        <f t="shared" si="1"/>
        <v>0</v>
      </c>
      <c r="F28" s="47">
        <f t="shared" si="1"/>
        <v>0</v>
      </c>
      <c r="G28" s="47">
        <f t="shared" si="1"/>
        <v>0</v>
      </c>
      <c r="H28" s="47">
        <f t="shared" si="1"/>
        <v>0</v>
      </c>
      <c r="I28" s="47">
        <f t="shared" si="1"/>
        <v>0</v>
      </c>
      <c r="J28" s="47">
        <f t="shared" si="1"/>
        <v>0</v>
      </c>
      <c r="K28" s="47">
        <f t="shared" si="1"/>
        <v>0</v>
      </c>
      <c r="L28" s="47">
        <f t="shared" si="1"/>
        <v>0</v>
      </c>
      <c r="M28" s="47">
        <f t="shared" si="1"/>
        <v>0</v>
      </c>
      <c r="N28" s="47">
        <f t="shared" si="1"/>
        <v>0</v>
      </c>
      <c r="O28" s="47">
        <f t="shared" si="1"/>
        <v>0</v>
      </c>
      <c r="P28" s="47">
        <f t="shared" si="1"/>
        <v>0</v>
      </c>
      <c r="Q28" s="47">
        <f t="shared" si="1"/>
        <v>0</v>
      </c>
      <c r="R28" s="47">
        <f t="shared" si="1"/>
        <v>0</v>
      </c>
      <c r="S28" s="47">
        <f t="shared" si="1"/>
        <v>0</v>
      </c>
      <c r="T28" s="47">
        <f t="shared" si="1"/>
        <v>0</v>
      </c>
      <c r="U28" s="47">
        <f t="shared" si="1"/>
        <v>0</v>
      </c>
      <c r="V28" s="47">
        <f t="shared" si="1"/>
        <v>0</v>
      </c>
      <c r="W28" s="47">
        <f t="shared" si="1"/>
        <v>0</v>
      </c>
      <c r="X28" s="47">
        <f t="shared" si="1"/>
        <v>0</v>
      </c>
      <c r="Y28" s="47">
        <f t="shared" si="1"/>
        <v>0</v>
      </c>
      <c r="Z28" s="47">
        <f t="shared" si="1"/>
        <v>0</v>
      </c>
      <c r="AA28" s="47">
        <f t="shared" si="1"/>
        <v>0</v>
      </c>
      <c r="AB28" s="47">
        <f t="shared" si="1"/>
        <v>0</v>
      </c>
      <c r="AC28" s="47">
        <f t="shared" si="1"/>
        <v>0</v>
      </c>
      <c r="AD28" s="47">
        <f t="shared" si="1"/>
        <v>0</v>
      </c>
      <c r="AE28" s="47">
        <f t="shared" si="1"/>
        <v>0</v>
      </c>
      <c r="AF28" s="47">
        <f t="shared" si="1"/>
        <v>0</v>
      </c>
      <c r="AG28" s="47">
        <f t="shared" si="1"/>
        <v>0</v>
      </c>
      <c r="AH28" s="47">
        <f t="shared" si="1"/>
        <v>0</v>
      </c>
    </row>
    <row r="30" ht="15" customHeight="1">
      <c r="A30" s="51" t="s">
        <v>94</v>
      </c>
    </row>
    <row r="31" ht="15" customHeight="1">
      <c r="A31" t="s">
        <v>95</v>
      </c>
      <c r="B31" t="s">
        <v>96</v>
      </c>
      <c r="C31" t="s">
        <v>97</v>
      </c>
      <c r="D31" t="s">
        <v>98</v>
      </c>
    </row>
  </sheetData>
  <mergeCells>
    <mergeCell ref="A1:AG1"/>
    <mergeCell ref="A28:C2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RIAZ</dc:creator>
  <cp:lastModifiedBy>HAMMAD RIAZ</cp:lastModifiedBy>
  <dcterms:created xsi:type="dcterms:W3CDTF">2025-12-21T20:33:01Z</dcterms:created>
  <dcterms:modified xsi:type="dcterms:W3CDTF">2025-12-21T21:13:44Z</dcterms:modified>
</cp:coreProperties>
</file>